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uli\OneDrive\Рабочий стол\Учебники и пособия\2 курс\Стратегический менеджмент\Исследование\project\data\processed\"/>
    </mc:Choice>
  </mc:AlternateContent>
  <xr:revisionPtr revIDLastSave="0" documentId="13_ncr:1_{B5A99790-1C5E-4B95-8D66-A0DA977843A4}" xr6:coauthVersionLast="47" xr6:coauthVersionMax="47" xr10:uidLastSave="{00000000-0000-0000-0000-000000000000}"/>
  <bookViews>
    <workbookView xWindow="-108" yWindow="-108" windowWidth="23256" windowHeight="12456" xr2:uid="{1AEEBF03-EBB1-402D-98E2-C98273A1993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</calcChain>
</file>

<file path=xl/sharedStrings.xml><?xml version="1.0" encoding="utf-8"?>
<sst xmlns="http://schemas.openxmlformats.org/spreadsheetml/2006/main" count="64" uniqueCount="16">
  <si>
    <t>company</t>
  </si>
  <si>
    <t>year</t>
  </si>
  <si>
    <t>revenue_rub</t>
  </si>
  <si>
    <t>ebitda_rub</t>
  </si>
  <si>
    <t>net_income_rub</t>
  </si>
  <si>
    <t>capex_rub</t>
  </si>
  <si>
    <t>total_debt_rub</t>
  </si>
  <si>
    <t>equity_rub</t>
  </si>
  <si>
    <t>export_share</t>
  </si>
  <si>
    <t>roa</t>
  </si>
  <si>
    <t>debt_to_ebitda</t>
  </si>
  <si>
    <t>LKOH</t>
  </si>
  <si>
    <t>NaN</t>
  </si>
  <si>
    <t>CHMF</t>
  </si>
  <si>
    <t>KMAZ</t>
  </si>
  <si>
    <t>MGNT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</si>
</sst>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vertical="center" wrapText="1"/>
    </xf>
    <xf numFmtId="164" fontId="0" fillId="0" borderId="0" xfId="1" applyNumberFormat="1" applyFont="1"/>
    <xf numFmtId="164" fontId="2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02A4-ADEF-43DD-B62F-E7EB80B90E49}">
  <dimension ref="A1:K45"/>
  <sheetViews>
    <sheetView tabSelected="1" topLeftCell="A19" workbookViewId="0">
      <selection activeCell="F12" sqref="F12"/>
    </sheetView>
  </sheetViews>
  <sheetFormatPr defaultRowHeight="14.4" x14ac:dyDescent="0.3"/>
  <cols>
    <col min="1" max="1" width="7.5546875" bestFit="1" customWidth="1"/>
    <col min="2" max="2" width="5" bestFit="1" customWidth="1"/>
    <col min="3" max="3" width="13.33203125" customWidth="1"/>
    <col min="4" max="4" width="12.6640625" bestFit="1" customWidth="1"/>
    <col min="5" max="5" width="10.88671875" customWidth="1"/>
    <col min="6" max="7" width="12.33203125" bestFit="1" customWidth="1"/>
    <col min="8" max="8" width="12.6640625" bestFit="1" customWidth="1"/>
    <col min="9" max="9" width="10.5546875" customWidth="1"/>
    <col min="11" max="11" width="11.88671875" customWidth="1"/>
  </cols>
  <sheetData>
    <row r="1" spans="1:1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 t="s">
        <v>11</v>
      </c>
      <c r="B2">
        <v>2025</v>
      </c>
      <c r="C2" s="6">
        <v>3767768</v>
      </c>
      <c r="D2" s="6">
        <v>1009955</v>
      </c>
      <c r="E2" s="5">
        <v>-1059859</v>
      </c>
      <c r="F2" s="5">
        <v>774550</v>
      </c>
      <c r="G2" s="5">
        <v>318012</v>
      </c>
      <c r="H2" s="5">
        <v>3626453</v>
      </c>
      <c r="I2" s="1">
        <v>50</v>
      </c>
      <c r="J2" s="2">
        <v>-19.36</v>
      </c>
      <c r="K2" s="2">
        <v>-22.36</v>
      </c>
    </row>
    <row r="3" spans="1:11" x14ac:dyDescent="0.3">
      <c r="A3" t="s">
        <v>11</v>
      </c>
      <c r="B3">
        <v>2024</v>
      </c>
      <c r="C3" s="6">
        <v>8621561</v>
      </c>
      <c r="D3" s="6">
        <v>1785263</v>
      </c>
      <c r="E3" s="5">
        <v>851546</v>
      </c>
      <c r="F3" s="5">
        <v>779724</v>
      </c>
      <c r="G3" s="5">
        <v>380006</v>
      </c>
      <c r="H3" s="5">
        <v>6892008</v>
      </c>
      <c r="I3" s="1">
        <v>55</v>
      </c>
      <c r="J3" s="2">
        <v>9.17</v>
      </c>
      <c r="K3" s="2">
        <v>-58.6</v>
      </c>
    </row>
    <row r="4" spans="1:11" x14ac:dyDescent="0.3">
      <c r="A4" t="s">
        <v>11</v>
      </c>
      <c r="B4">
        <v>2023</v>
      </c>
      <c r="C4" s="6">
        <v>7928303</v>
      </c>
      <c r="D4" s="6">
        <v>2005064</v>
      </c>
      <c r="E4" s="5">
        <v>1160271</v>
      </c>
      <c r="F4" s="5">
        <v>720317</v>
      </c>
      <c r="G4" s="5">
        <v>396128</v>
      </c>
      <c r="H4" s="5">
        <v>6401233</v>
      </c>
      <c r="I4" s="1">
        <v>60</v>
      </c>
      <c r="J4" s="2">
        <v>13.489999999999998</v>
      </c>
      <c r="K4" s="2">
        <v>-39.08</v>
      </c>
    </row>
    <row r="5" spans="1:11" x14ac:dyDescent="0.3">
      <c r="A5" t="s">
        <v>11</v>
      </c>
      <c r="B5">
        <v>2022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s="2" t="s">
        <v>12</v>
      </c>
      <c r="K5" s="2" t="s">
        <v>12</v>
      </c>
    </row>
    <row r="6" spans="1:11" x14ac:dyDescent="0.3">
      <c r="A6" t="s">
        <v>11</v>
      </c>
      <c r="B6">
        <v>2021</v>
      </c>
      <c r="C6" s="5">
        <v>9435143</v>
      </c>
      <c r="D6" s="5">
        <v>1404411</v>
      </c>
      <c r="E6" s="5">
        <v>775513</v>
      </c>
      <c r="F6" s="5">
        <v>433042</v>
      </c>
      <c r="G6" s="5">
        <v>757950</v>
      </c>
      <c r="H6" s="5">
        <v>4523184</v>
      </c>
      <c r="I6" s="2">
        <v>85.98</v>
      </c>
      <c r="J6" s="2">
        <v>11.3</v>
      </c>
      <c r="K6" s="2">
        <v>5.73</v>
      </c>
    </row>
    <row r="7" spans="1:11" x14ac:dyDescent="0.3">
      <c r="A7" t="s">
        <v>11</v>
      </c>
      <c r="B7">
        <v>2020</v>
      </c>
      <c r="C7" s="5">
        <v>5639401</v>
      </c>
      <c r="D7" s="5">
        <v>687094</v>
      </c>
      <c r="E7" s="5">
        <v>16633</v>
      </c>
      <c r="F7" s="5">
        <v>495443</v>
      </c>
      <c r="G7" s="5">
        <v>659711</v>
      </c>
      <c r="H7" s="5">
        <v>4130766</v>
      </c>
      <c r="I7" s="2">
        <v>81.553058560652104</v>
      </c>
      <c r="J7" s="2">
        <v>0.27760628709059831</v>
      </c>
      <c r="K7" s="2">
        <v>45.973185619434901</v>
      </c>
    </row>
    <row r="8" spans="1:11" x14ac:dyDescent="0.3">
      <c r="A8" t="s">
        <v>11</v>
      </c>
      <c r="B8">
        <v>2019</v>
      </c>
      <c r="C8" s="5">
        <v>7841246</v>
      </c>
      <c r="D8" s="5">
        <v>1236192</v>
      </c>
      <c r="E8" s="5">
        <v>642221</v>
      </c>
      <c r="F8" s="5">
        <v>449975</v>
      </c>
      <c r="G8" s="5">
        <v>553232</v>
      </c>
      <c r="H8" s="5">
        <v>3973449</v>
      </c>
      <c r="I8" s="2">
        <v>84.4562586099199</v>
      </c>
      <c r="J8" s="2">
        <v>10.798984370402131</v>
      </c>
      <c r="K8" s="2">
        <v>3.0092412829075097</v>
      </c>
    </row>
    <row r="9" spans="1:11" x14ac:dyDescent="0.3">
      <c r="A9" t="s">
        <v>11</v>
      </c>
      <c r="B9">
        <v>2018</v>
      </c>
      <c r="C9" s="5">
        <v>8035889</v>
      </c>
      <c r="D9" s="5">
        <v>1114800</v>
      </c>
      <c r="E9" s="5">
        <v>621102</v>
      </c>
      <c r="F9" s="5">
        <v>451526</v>
      </c>
      <c r="G9" s="5">
        <v>535047</v>
      </c>
      <c r="H9" s="5">
        <v>4073526</v>
      </c>
      <c r="I9" s="2">
        <v>84.248450918124931</v>
      </c>
      <c r="J9" s="2">
        <v>10.834972268072853</v>
      </c>
      <c r="K9" s="2">
        <v>3.8031036957301758</v>
      </c>
    </row>
    <row r="10" spans="1:11" x14ac:dyDescent="0.3">
      <c r="A10" t="s">
        <v>11</v>
      </c>
      <c r="B10">
        <v>2017</v>
      </c>
      <c r="C10">
        <v>5936705</v>
      </c>
      <c r="D10">
        <v>859801</v>
      </c>
      <c r="E10" s="1">
        <v>420422</v>
      </c>
      <c r="F10" s="1">
        <v>511496</v>
      </c>
      <c r="G10">
        <f>128713+487647</f>
        <v>616360</v>
      </c>
      <c r="H10" s="1">
        <v>3490399</v>
      </c>
      <c r="I10" s="2">
        <v>82.138694781027525</v>
      </c>
      <c r="J10" s="2">
        <v>8.0444834359091626</v>
      </c>
      <c r="K10" s="2">
        <v>33.26002179574111</v>
      </c>
    </row>
    <row r="11" spans="1:11" x14ac:dyDescent="0.3">
      <c r="A11" t="s">
        <v>11</v>
      </c>
      <c r="B11">
        <v>2016</v>
      </c>
      <c r="C11">
        <v>5227045</v>
      </c>
      <c r="D11">
        <v>615592</v>
      </c>
      <c r="E11" s="1">
        <v>207642</v>
      </c>
      <c r="F11" s="1">
        <v>497130</v>
      </c>
      <c r="G11">
        <f>58429+640161</f>
        <v>698590</v>
      </c>
      <c r="H11" s="1">
        <v>3227664</v>
      </c>
      <c r="I11" s="2">
        <v>81.921640238413858</v>
      </c>
      <c r="J11" s="2">
        <v>4.1406887348387418</v>
      </c>
      <c r="K11" s="2">
        <v>71.024802141678251</v>
      </c>
    </row>
    <row r="12" spans="1:11" x14ac:dyDescent="0.3">
      <c r="A12" t="s">
        <v>11</v>
      </c>
      <c r="B12">
        <v>2015</v>
      </c>
      <c r="C12">
        <v>5749050</v>
      </c>
      <c r="D12">
        <v>768931</v>
      </c>
      <c r="E12">
        <v>292745</v>
      </c>
      <c r="F12" s="1">
        <v>600639</v>
      </c>
      <c r="G12">
        <f>60506+799207</f>
        <v>859713</v>
      </c>
      <c r="H12" s="1">
        <v>3231374</v>
      </c>
      <c r="I12" s="2">
        <v>83.62510327793288</v>
      </c>
      <c r="J12" s="2">
        <v>5.8308686579132765</v>
      </c>
      <c r="K12" s="2">
        <v>78.349032618011236</v>
      </c>
    </row>
    <row r="13" spans="1:11" x14ac:dyDescent="0.3">
      <c r="A13" t="s">
        <v>13</v>
      </c>
      <c r="B13">
        <v>2025</v>
      </c>
      <c r="C13" s="1">
        <v>712896</v>
      </c>
      <c r="D13" s="1">
        <v>134568</v>
      </c>
      <c r="E13" s="1">
        <v>31988</v>
      </c>
      <c r="F13" s="1">
        <v>173489</v>
      </c>
      <c r="G13" s="1">
        <v>60059</v>
      </c>
      <c r="H13" s="1">
        <v>528307</v>
      </c>
      <c r="I13" s="2">
        <v>40</v>
      </c>
      <c r="J13" s="2">
        <v>3.75</v>
      </c>
      <c r="K13" s="2">
        <v>16.100000000000001</v>
      </c>
    </row>
    <row r="14" spans="1:11" x14ac:dyDescent="0.3">
      <c r="A14" t="s">
        <v>13</v>
      </c>
      <c r="B14">
        <v>2024</v>
      </c>
      <c r="C14" s="1">
        <v>829779</v>
      </c>
      <c r="D14" s="1">
        <v>233034</v>
      </c>
      <c r="E14" s="1">
        <v>149556</v>
      </c>
      <c r="F14" s="1">
        <v>118460</v>
      </c>
      <c r="G14" s="1">
        <v>108503</v>
      </c>
      <c r="H14" s="1">
        <v>496524</v>
      </c>
      <c r="I14" s="2">
        <v>33</v>
      </c>
      <c r="J14" s="2">
        <v>17.36</v>
      </c>
      <c r="K14" s="2">
        <v>-8.61</v>
      </c>
    </row>
    <row r="15" spans="1:11" x14ac:dyDescent="0.3">
      <c r="A15" t="s">
        <v>13</v>
      </c>
      <c r="B15">
        <v>2023</v>
      </c>
      <c r="C15" s="1">
        <v>728314</v>
      </c>
      <c r="D15" s="1">
        <v>258434</v>
      </c>
      <c r="E15" s="1">
        <v>190893</v>
      </c>
      <c r="F15" s="1">
        <v>72629</v>
      </c>
      <c r="G15" s="1">
        <v>163105</v>
      </c>
      <c r="H15" s="1">
        <v>613828</v>
      </c>
      <c r="I15" s="2">
        <v>40</v>
      </c>
      <c r="J15" s="2">
        <v>19.2</v>
      </c>
      <c r="K15" s="2">
        <v>-81.44</v>
      </c>
    </row>
    <row r="16" spans="1:11" x14ac:dyDescent="0.3">
      <c r="A16" t="s">
        <v>13</v>
      </c>
      <c r="B16">
        <v>2022</v>
      </c>
      <c r="C16" s="1">
        <v>682226</v>
      </c>
      <c r="D16" s="1">
        <v>211157</v>
      </c>
      <c r="E16" s="1">
        <v>108282</v>
      </c>
      <c r="F16" s="1">
        <v>67870</v>
      </c>
      <c r="G16" s="1">
        <v>101587</v>
      </c>
      <c r="H16" s="1">
        <v>428277</v>
      </c>
      <c r="I16" s="2">
        <v>40</v>
      </c>
      <c r="J16" s="2">
        <v>14.84</v>
      </c>
      <c r="K16" s="2">
        <v>-40.089999999999996</v>
      </c>
    </row>
    <row r="17" spans="1:11" x14ac:dyDescent="0.3">
      <c r="A17" t="s">
        <v>13</v>
      </c>
      <c r="B17">
        <v>2021</v>
      </c>
      <c r="C17" s="1">
        <v>855583</v>
      </c>
      <c r="D17" s="1">
        <v>439669</v>
      </c>
      <c r="E17" s="1">
        <v>299551</v>
      </c>
      <c r="F17" s="1">
        <v>85198</v>
      </c>
      <c r="G17" s="1">
        <v>134915</v>
      </c>
      <c r="H17" s="1">
        <v>312671</v>
      </c>
      <c r="I17" s="2">
        <v>47.38</v>
      </c>
      <c r="J17" s="2">
        <v>46.53</v>
      </c>
      <c r="K17" s="2">
        <v>23.62</v>
      </c>
    </row>
    <row r="18" spans="1:11" x14ac:dyDescent="0.3">
      <c r="A18" t="s">
        <v>13</v>
      </c>
      <c r="B18">
        <v>2020</v>
      </c>
      <c r="C18" s="1">
        <v>494769</v>
      </c>
      <c r="D18" s="1">
        <v>175619</v>
      </c>
      <c r="E18" s="1">
        <v>74610</v>
      </c>
      <c r="F18" s="1">
        <v>95284</v>
      </c>
      <c r="G18" s="1">
        <v>192991</v>
      </c>
      <c r="H18" s="1">
        <v>202664</v>
      </c>
      <c r="I18" s="2">
        <v>38.29</v>
      </c>
      <c r="J18" s="2">
        <v>13.66</v>
      </c>
      <c r="K18" s="2">
        <v>85.37</v>
      </c>
    </row>
    <row r="19" spans="1:11" x14ac:dyDescent="0.3">
      <c r="A19" t="s">
        <v>13</v>
      </c>
      <c r="B19">
        <v>2019</v>
      </c>
      <c r="C19" s="1">
        <v>527752</v>
      </c>
      <c r="D19" s="1">
        <v>181474</v>
      </c>
      <c r="E19" s="1">
        <v>114286</v>
      </c>
      <c r="F19" s="1">
        <v>78524</v>
      </c>
      <c r="G19" s="1">
        <v>164139</v>
      </c>
      <c r="H19" s="1">
        <v>215291</v>
      </c>
      <c r="I19" s="2">
        <v>33.17</v>
      </c>
      <c r="J19" s="2">
        <v>22.470000000000002</v>
      </c>
      <c r="K19" s="2">
        <v>53.580000000000005</v>
      </c>
    </row>
    <row r="20" spans="1:11" x14ac:dyDescent="0.3">
      <c r="A20" t="s">
        <v>13</v>
      </c>
      <c r="B20">
        <v>2018</v>
      </c>
      <c r="C20" s="1">
        <v>537130</v>
      </c>
      <c r="D20" s="1">
        <v>197385</v>
      </c>
      <c r="E20" s="1">
        <v>128679</v>
      </c>
      <c r="F20" s="1">
        <v>43597</v>
      </c>
      <c r="G20" s="1">
        <v>101083</v>
      </c>
      <c r="H20" s="1">
        <v>200038</v>
      </c>
      <c r="I20" s="2">
        <v>40.07</v>
      </c>
      <c r="J20" s="2">
        <v>31.53</v>
      </c>
      <c r="K20" s="2">
        <v>43.19</v>
      </c>
    </row>
    <row r="21" spans="1:11" x14ac:dyDescent="0.3">
      <c r="A21" t="s">
        <v>13</v>
      </c>
      <c r="B21">
        <v>2017</v>
      </c>
      <c r="C21" s="1">
        <v>457521</v>
      </c>
      <c r="D21" s="1">
        <v>150454</v>
      </c>
      <c r="E21" s="1">
        <v>146029</v>
      </c>
      <c r="F21" s="1">
        <v>34459</v>
      </c>
      <c r="G21" s="1">
        <v>120518</v>
      </c>
      <c r="H21" s="1">
        <v>195713</v>
      </c>
      <c r="I21" s="2">
        <v>40.21</v>
      </c>
      <c r="J21" s="2">
        <v>35.17</v>
      </c>
      <c r="K21" s="2">
        <v>40.619999999999997</v>
      </c>
    </row>
    <row r="22" spans="1:11" x14ac:dyDescent="0.3">
      <c r="A22" t="s">
        <v>13</v>
      </c>
      <c r="B22">
        <v>2016</v>
      </c>
      <c r="C22" s="1">
        <v>392144</v>
      </c>
      <c r="D22" s="1">
        <v>123339</v>
      </c>
      <c r="E22" s="1">
        <v>102114</v>
      </c>
      <c r="F22" s="1">
        <v>34968</v>
      </c>
      <c r="G22" s="1">
        <v>122143</v>
      </c>
      <c r="H22" s="1">
        <v>184313</v>
      </c>
      <c r="I22" s="2">
        <v>35.659999999999997</v>
      </c>
      <c r="J22" s="2">
        <v>25.979999999999997</v>
      </c>
      <c r="K22" s="2">
        <v>42.27</v>
      </c>
    </row>
    <row r="23" spans="1:11" x14ac:dyDescent="0.3">
      <c r="A23" t="s">
        <v>13</v>
      </c>
      <c r="B23">
        <v>2015</v>
      </c>
      <c r="C23" s="1">
        <v>386673</v>
      </c>
      <c r="D23" s="1">
        <v>124133</v>
      </c>
      <c r="E23" s="1">
        <v>34539</v>
      </c>
      <c r="F23" s="1">
        <v>26855</v>
      </c>
      <c r="G23" s="1">
        <v>178723</v>
      </c>
      <c r="H23" s="1">
        <v>159066</v>
      </c>
      <c r="I23" s="2">
        <v>34.369999999999997</v>
      </c>
      <c r="J23" s="2">
        <v>8.08</v>
      </c>
      <c r="K23" s="2">
        <v>47.27</v>
      </c>
    </row>
    <row r="24" spans="1:11" x14ac:dyDescent="0.3">
      <c r="A24" t="s">
        <v>14</v>
      </c>
      <c r="B24">
        <v>2025</v>
      </c>
      <c r="C24" s="1">
        <v>382104</v>
      </c>
      <c r="D24" s="1">
        <v>-4036</v>
      </c>
      <c r="E24" s="1">
        <v>-42957</v>
      </c>
      <c r="F24" s="1">
        <v>19959</v>
      </c>
      <c r="G24" s="1">
        <v>277377</v>
      </c>
      <c r="H24" s="1">
        <v>79336</v>
      </c>
      <c r="I24" s="3">
        <v>0</v>
      </c>
      <c r="J24" s="2">
        <v>-8.2000000000000011</v>
      </c>
      <c r="K24" s="2">
        <v>-68.73</v>
      </c>
    </row>
    <row r="25" spans="1:11" x14ac:dyDescent="0.3">
      <c r="A25" t="s">
        <v>14</v>
      </c>
      <c r="B25">
        <v>2024</v>
      </c>
      <c r="C25" s="1">
        <v>393654</v>
      </c>
      <c r="D25" s="1">
        <v>33610</v>
      </c>
      <c r="E25">
        <v>731</v>
      </c>
      <c r="F25" s="1">
        <v>20160</v>
      </c>
      <c r="G25" s="1">
        <v>225579</v>
      </c>
      <c r="H25" s="1">
        <v>123495</v>
      </c>
      <c r="I25" s="3">
        <v>0</v>
      </c>
      <c r="J25" s="2">
        <v>0.13</v>
      </c>
      <c r="K25" s="2">
        <v>6.7100000000000009</v>
      </c>
    </row>
    <row r="26" spans="1:11" x14ac:dyDescent="0.3">
      <c r="A26" t="s">
        <v>14</v>
      </c>
      <c r="B26">
        <v>2023</v>
      </c>
      <c r="C26" s="1">
        <v>370312</v>
      </c>
      <c r="D26" s="1">
        <v>34357</v>
      </c>
      <c r="E26" s="1">
        <v>16879</v>
      </c>
      <c r="F26" s="1">
        <v>24628</v>
      </c>
      <c r="G26" s="1">
        <v>143921</v>
      </c>
      <c r="H26" s="1">
        <v>114728</v>
      </c>
      <c r="I26" s="3">
        <v>0</v>
      </c>
      <c r="J26" s="2">
        <v>3.5999999999999996</v>
      </c>
      <c r="K26" s="2">
        <v>4.1900000000000004</v>
      </c>
    </row>
    <row r="27" spans="1:11" x14ac:dyDescent="0.3">
      <c r="A27" t="s">
        <v>14</v>
      </c>
      <c r="B27">
        <v>2022</v>
      </c>
      <c r="C27" s="1">
        <v>292326</v>
      </c>
      <c r="D27" s="1">
        <v>37946</v>
      </c>
      <c r="E27" s="1">
        <v>19935</v>
      </c>
      <c r="F27" s="1">
        <v>12507</v>
      </c>
      <c r="G27" s="1">
        <v>120632</v>
      </c>
      <c r="H27" s="1">
        <v>97727</v>
      </c>
      <c r="I27" s="3">
        <v>0</v>
      </c>
      <c r="J27" s="2">
        <v>5.88</v>
      </c>
      <c r="K27" s="2">
        <v>3.18</v>
      </c>
    </row>
    <row r="28" spans="1:11" x14ac:dyDescent="0.3">
      <c r="A28" t="s">
        <v>14</v>
      </c>
      <c r="B28">
        <v>2021</v>
      </c>
      <c r="C28" s="1">
        <v>269238</v>
      </c>
      <c r="D28" s="1">
        <v>19510</v>
      </c>
      <c r="E28" s="1">
        <v>4633</v>
      </c>
      <c r="F28" s="1">
        <v>12159</v>
      </c>
      <c r="G28" s="1">
        <v>108492</v>
      </c>
      <c r="H28" s="1">
        <v>57591</v>
      </c>
      <c r="I28" s="2">
        <v>9.6199999999999992</v>
      </c>
      <c r="J28" s="2">
        <v>1.71</v>
      </c>
      <c r="K28" s="2">
        <v>5.56</v>
      </c>
    </row>
    <row r="29" spans="1:11" x14ac:dyDescent="0.3">
      <c r="A29" t="s">
        <v>14</v>
      </c>
      <c r="B29">
        <v>2020</v>
      </c>
      <c r="C29" s="3">
        <v>213341</v>
      </c>
      <c r="D29" s="3">
        <v>15713</v>
      </c>
      <c r="E29" s="3">
        <v>3104</v>
      </c>
      <c r="F29" s="3">
        <v>9318</v>
      </c>
      <c r="G29" s="3">
        <v>95045</v>
      </c>
      <c r="H29" s="3">
        <v>50229</v>
      </c>
      <c r="I29" s="2">
        <v>9.1999999999999993</v>
      </c>
      <c r="J29" s="2">
        <v>1.3599999999999999</v>
      </c>
      <c r="K29" s="2">
        <v>6.05</v>
      </c>
    </row>
    <row r="30" spans="1:11" x14ac:dyDescent="0.3">
      <c r="A30" t="s">
        <v>14</v>
      </c>
      <c r="B30">
        <v>2019</v>
      </c>
      <c r="C30" s="1">
        <v>190422</v>
      </c>
      <c r="D30" s="1">
        <v>9674</v>
      </c>
      <c r="E30" s="1">
        <v>-1955</v>
      </c>
      <c r="F30" s="1">
        <v>9844</v>
      </c>
      <c r="G30" s="1">
        <v>100595</v>
      </c>
      <c r="H30" s="1">
        <v>38755</v>
      </c>
      <c r="I30" s="2">
        <v>10.31</v>
      </c>
      <c r="J30" s="2">
        <v>-0.95</v>
      </c>
      <c r="K30" s="2">
        <v>10.4</v>
      </c>
    </row>
    <row r="31" spans="1:11" x14ac:dyDescent="0.3">
      <c r="A31" t="s">
        <v>14</v>
      </c>
      <c r="B31">
        <v>2018</v>
      </c>
      <c r="C31" s="1">
        <v>186196</v>
      </c>
      <c r="D31" s="1">
        <v>9288</v>
      </c>
      <c r="E31" s="1">
        <v>1588</v>
      </c>
      <c r="F31" s="1">
        <v>11084</v>
      </c>
      <c r="G31" s="1">
        <v>91460</v>
      </c>
      <c r="H31" s="1">
        <v>39914</v>
      </c>
      <c r="I31" s="2">
        <v>10.08</v>
      </c>
      <c r="J31" s="2">
        <v>0.82000000000000006</v>
      </c>
      <c r="K31" s="2">
        <v>9.85</v>
      </c>
    </row>
    <row r="32" spans="1:11" x14ac:dyDescent="0.3">
      <c r="A32" t="s">
        <v>14</v>
      </c>
      <c r="B32">
        <v>2017</v>
      </c>
      <c r="C32" s="1">
        <v>156025</v>
      </c>
      <c r="D32" s="1">
        <v>10808</v>
      </c>
      <c r="E32" s="1">
        <v>3455</v>
      </c>
      <c r="F32" s="1">
        <v>11065</v>
      </c>
      <c r="G32" s="1">
        <v>58763</v>
      </c>
      <c r="H32" s="1">
        <v>38754</v>
      </c>
      <c r="I32" s="2">
        <v>11.129999999999999</v>
      </c>
      <c r="J32" s="2">
        <v>1.94</v>
      </c>
      <c r="K32" s="2">
        <v>5.4399999999999995</v>
      </c>
    </row>
    <row r="33" spans="1:11" x14ac:dyDescent="0.3">
      <c r="A33" t="s">
        <v>14</v>
      </c>
      <c r="B33">
        <v>2016</v>
      </c>
      <c r="C33" s="1">
        <v>133540</v>
      </c>
      <c r="D33" s="1">
        <v>6154</v>
      </c>
      <c r="E33">
        <v>635</v>
      </c>
      <c r="F33" s="1">
        <v>8074</v>
      </c>
      <c r="G33" s="1">
        <v>47521</v>
      </c>
      <c r="H33" s="1">
        <v>36681</v>
      </c>
      <c r="I33" s="2">
        <v>14.91</v>
      </c>
      <c r="J33" s="2">
        <v>0.56999999999999995</v>
      </c>
      <c r="K33" s="2">
        <v>6.27</v>
      </c>
    </row>
    <row r="34" spans="1:11" x14ac:dyDescent="0.3">
      <c r="A34" t="s">
        <v>14</v>
      </c>
      <c r="B34">
        <v>2015</v>
      </c>
      <c r="C34" s="1">
        <v>97455</v>
      </c>
      <c r="D34">
        <v>-244</v>
      </c>
      <c r="E34" s="1">
        <v>-2074</v>
      </c>
      <c r="F34" s="1">
        <v>5789</v>
      </c>
      <c r="G34" s="1">
        <v>35115</v>
      </c>
      <c r="H34" s="1">
        <v>36455</v>
      </c>
      <c r="I34" s="2">
        <v>17.079999999999998</v>
      </c>
      <c r="J34" s="2">
        <v>-1.87</v>
      </c>
      <c r="K34" s="2">
        <v>-99.8</v>
      </c>
    </row>
    <row r="35" spans="1:11" x14ac:dyDescent="0.3">
      <c r="A35" t="s">
        <v>15</v>
      </c>
      <c r="B35">
        <v>2025</v>
      </c>
      <c r="C35" s="5">
        <v>3509226</v>
      </c>
      <c r="D35" s="5">
        <v>303224</v>
      </c>
      <c r="E35" s="5">
        <v>-31576</v>
      </c>
      <c r="F35" s="5">
        <v>186372</v>
      </c>
      <c r="G35" s="5">
        <v>745667</v>
      </c>
      <c r="H35" s="5">
        <v>149801</v>
      </c>
      <c r="I35" s="3">
        <v>0</v>
      </c>
      <c r="J35" s="2">
        <v>-1.62</v>
      </c>
      <c r="K35" s="2">
        <v>2.46</v>
      </c>
    </row>
    <row r="36" spans="1:11" x14ac:dyDescent="0.3">
      <c r="A36" t="s">
        <v>15</v>
      </c>
      <c r="B36">
        <v>2024</v>
      </c>
      <c r="C36" s="1">
        <v>3043434</v>
      </c>
      <c r="D36" s="1">
        <v>290935</v>
      </c>
      <c r="E36" s="1">
        <v>44334</v>
      </c>
      <c r="F36" s="1">
        <v>149211</v>
      </c>
      <c r="G36" s="1">
        <v>411918</v>
      </c>
      <c r="H36" s="1">
        <v>174275</v>
      </c>
      <c r="I36" s="3">
        <v>0</v>
      </c>
      <c r="J36" s="2">
        <v>2.83</v>
      </c>
      <c r="K36" s="2">
        <v>1.42</v>
      </c>
    </row>
    <row r="37" spans="1:11" x14ac:dyDescent="0.3">
      <c r="A37" t="s">
        <v>15</v>
      </c>
      <c r="B37">
        <v>2023</v>
      </c>
      <c r="C37" s="1">
        <v>2544689</v>
      </c>
      <c r="D37" s="1">
        <v>269614</v>
      </c>
      <c r="E37" s="1">
        <v>58678</v>
      </c>
      <c r="F37" s="1">
        <v>60150</v>
      </c>
      <c r="G37" s="1">
        <v>402135</v>
      </c>
      <c r="H37" s="1">
        <v>158467</v>
      </c>
      <c r="I37" s="3">
        <v>0</v>
      </c>
      <c r="J37" s="2">
        <v>4.0999999999999996</v>
      </c>
      <c r="K37" s="2">
        <v>1.49</v>
      </c>
    </row>
    <row r="38" spans="1:11" x14ac:dyDescent="0.3">
      <c r="A38" t="s">
        <v>15</v>
      </c>
      <c r="B38">
        <v>2022</v>
      </c>
      <c r="C38" s="1">
        <v>2351996</v>
      </c>
      <c r="D38" s="1">
        <v>231842</v>
      </c>
      <c r="E38" s="1">
        <v>27933</v>
      </c>
      <c r="F38" s="1">
        <v>44242</v>
      </c>
      <c r="G38" s="1">
        <v>420293</v>
      </c>
      <c r="H38" s="1">
        <v>207382</v>
      </c>
      <c r="I38" s="3">
        <v>0</v>
      </c>
      <c r="J38" s="2">
        <v>2</v>
      </c>
      <c r="K38" s="2">
        <v>1.81</v>
      </c>
    </row>
    <row r="39" spans="1:11" x14ac:dyDescent="0.3">
      <c r="A39" t="s">
        <v>15</v>
      </c>
      <c r="B39">
        <v>2021</v>
      </c>
      <c r="C39" s="5">
        <v>1856079</v>
      </c>
      <c r="D39" s="5">
        <v>155066</v>
      </c>
      <c r="E39" s="5">
        <v>48106</v>
      </c>
      <c r="F39" s="5">
        <v>59856</v>
      </c>
      <c r="G39" s="5">
        <v>270426</v>
      </c>
      <c r="H39" s="5">
        <v>178985</v>
      </c>
      <c r="I39" s="3">
        <v>0</v>
      </c>
      <c r="J39" s="2">
        <v>3.98</v>
      </c>
      <c r="K39" s="2">
        <v>1.74</v>
      </c>
    </row>
    <row r="40" spans="1:11" x14ac:dyDescent="0.3">
      <c r="A40" t="s">
        <v>15</v>
      </c>
      <c r="B40">
        <v>2020</v>
      </c>
      <c r="C40" s="1">
        <v>1553777</v>
      </c>
      <c r="D40" s="1">
        <v>172338</v>
      </c>
      <c r="E40" s="1">
        <v>32993</v>
      </c>
      <c r="F40" s="1">
        <v>57005</v>
      </c>
      <c r="G40" s="1">
        <v>166087</v>
      </c>
      <c r="H40" s="1">
        <v>182889</v>
      </c>
      <c r="I40" s="3">
        <v>0</v>
      </c>
      <c r="J40" s="2">
        <v>2.11</v>
      </c>
      <c r="K40" s="2">
        <v>0.96</v>
      </c>
    </row>
    <row r="41" spans="1:11" x14ac:dyDescent="0.3">
      <c r="A41" t="s">
        <v>15</v>
      </c>
      <c r="B41">
        <v>2019</v>
      </c>
      <c r="C41" s="1">
        <v>1368705</v>
      </c>
      <c r="D41" s="1">
        <v>143427</v>
      </c>
      <c r="E41" s="1">
        <v>9564</v>
      </c>
      <c r="F41" s="1">
        <v>55709</v>
      </c>
      <c r="G41" s="1">
        <v>184211</v>
      </c>
      <c r="H41" s="1">
        <v>188533</v>
      </c>
      <c r="I41" s="3">
        <v>0</v>
      </c>
      <c r="J41" s="2">
        <v>1.01</v>
      </c>
      <c r="K41" s="2">
        <v>1.28</v>
      </c>
    </row>
    <row r="42" spans="1:11" x14ac:dyDescent="0.3">
      <c r="A42" t="s">
        <v>15</v>
      </c>
      <c r="B42">
        <v>2018</v>
      </c>
      <c r="C42" s="1">
        <v>1237015</v>
      </c>
      <c r="D42" s="1">
        <v>90929</v>
      </c>
      <c r="E42" s="1">
        <v>33865</v>
      </c>
      <c r="F42" s="1">
        <v>53747</v>
      </c>
      <c r="G42" s="1">
        <v>164573</v>
      </c>
      <c r="H42" s="1">
        <v>253304</v>
      </c>
      <c r="I42" s="3">
        <v>0</v>
      </c>
      <c r="J42" s="2">
        <v>5.54</v>
      </c>
      <c r="K42" s="2">
        <v>1.81</v>
      </c>
    </row>
    <row r="43" spans="1:11" x14ac:dyDescent="0.3">
      <c r="A43" t="s">
        <v>15</v>
      </c>
      <c r="B43">
        <v>2017</v>
      </c>
      <c r="C43" s="1">
        <v>1143314</v>
      </c>
      <c r="D43" s="1">
        <v>91779</v>
      </c>
      <c r="E43" s="1">
        <v>35539</v>
      </c>
      <c r="F43" s="1">
        <v>75155</v>
      </c>
      <c r="G43" s="1">
        <v>126460</v>
      </c>
      <c r="H43" s="1">
        <v>259307</v>
      </c>
      <c r="I43" s="3">
        <v>0</v>
      </c>
      <c r="J43" s="2">
        <v>6.75</v>
      </c>
      <c r="K43" s="2">
        <v>1.38</v>
      </c>
    </row>
    <row r="44" spans="1:11" x14ac:dyDescent="0.3">
      <c r="A44" t="s">
        <v>15</v>
      </c>
      <c r="B44">
        <v>2016</v>
      </c>
      <c r="C44" s="1">
        <v>1074812</v>
      </c>
      <c r="D44" s="1">
        <v>107793</v>
      </c>
      <c r="E44" s="1">
        <v>54441</v>
      </c>
      <c r="F44" s="1">
        <v>50420</v>
      </c>
      <c r="G44" s="1">
        <v>127606</v>
      </c>
      <c r="H44" s="1">
        <v>196077</v>
      </c>
      <c r="I44" s="3">
        <v>0</v>
      </c>
      <c r="J44" s="2">
        <v>11.96</v>
      </c>
      <c r="K44" s="2">
        <v>1.18</v>
      </c>
    </row>
    <row r="45" spans="1:11" x14ac:dyDescent="0.3">
      <c r="A45" t="s">
        <v>15</v>
      </c>
      <c r="B45">
        <v>2015</v>
      </c>
      <c r="C45" s="1">
        <v>950613</v>
      </c>
      <c r="D45" s="1">
        <v>103973</v>
      </c>
      <c r="E45" s="1">
        <v>59061</v>
      </c>
      <c r="F45" s="1">
        <v>51031</v>
      </c>
      <c r="G45" s="1">
        <v>104228</v>
      </c>
      <c r="H45" s="1">
        <v>165141</v>
      </c>
      <c r="I45" s="3">
        <v>0</v>
      </c>
      <c r="J45" s="2">
        <v>14.61</v>
      </c>
      <c r="K45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Андриенко</dc:creator>
  <cp:lastModifiedBy>Юлия Андриенко</cp:lastModifiedBy>
  <dcterms:created xsi:type="dcterms:W3CDTF">2026-05-09T17:21:16Z</dcterms:created>
  <dcterms:modified xsi:type="dcterms:W3CDTF">2026-05-12T11:48:02Z</dcterms:modified>
</cp:coreProperties>
</file>